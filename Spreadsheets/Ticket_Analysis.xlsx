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esktop\"/>
    </mc:Choice>
  </mc:AlternateContent>
  <xr:revisionPtr revIDLastSave="0" documentId="13_ncr:1_{450DF708-9537-4C79-B50C-E89C49C06BC8}" xr6:coauthVersionLast="47" xr6:coauthVersionMax="47" xr10:uidLastSave="{00000000-0000-0000-0000-000000000000}"/>
  <bookViews>
    <workbookView xWindow="-108" yWindow="-108" windowWidth="23256" windowHeight="13176" xr2:uid="{9E545710-198D-40D0-BF10-E8EC54EDE4B0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J3" i="1"/>
  <c r="J2" i="1"/>
  <c r="D3" i="2"/>
  <c r="D4" i="2"/>
  <c r="D2" i="2"/>
  <c r="G2" i="1"/>
  <c r="F3" i="1"/>
  <c r="F2" i="1"/>
  <c r="G4" i="1"/>
  <c r="G3" i="1"/>
  <c r="F4" i="1"/>
</calcChain>
</file>

<file path=xl/sharedStrings.xml><?xml version="1.0" encoding="utf-8"?>
<sst xmlns="http://schemas.openxmlformats.org/spreadsheetml/2006/main" count="28" uniqueCount="21">
  <si>
    <t>ticket_id</t>
  </si>
  <si>
    <t>created_at</t>
  </si>
  <si>
    <t>closed_at</t>
  </si>
  <si>
    <t xml:space="preserve">outlet_id </t>
  </si>
  <si>
    <t>cms_id</t>
  </si>
  <si>
    <t>feedback_at</t>
  </si>
  <si>
    <t>feedback_rating</t>
  </si>
  <si>
    <t>ticket_created_at</t>
  </si>
  <si>
    <t>t1</t>
  </si>
  <si>
    <t>t2</t>
  </si>
  <si>
    <t>t3</t>
  </si>
  <si>
    <t>c1</t>
  </si>
  <si>
    <t>o1</t>
  </si>
  <si>
    <t>c2</t>
  </si>
  <si>
    <t>c3</t>
  </si>
  <si>
    <t>o2</t>
  </si>
  <si>
    <t>Same Day</t>
  </si>
  <si>
    <t>Same Hour</t>
  </si>
  <si>
    <t>outlet</t>
  </si>
  <si>
    <t>Same Day Count</t>
  </si>
  <si>
    <t>Same Hour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</si>
</sst>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7A25-CCF7-4040-B2C1-DD881B248783}">
  <dimension ref="A1:K4"/>
  <sheetViews>
    <sheetView tabSelected="1" workbookViewId="0">
      <selection activeCell="H13" sqref="H13"/>
    </sheetView>
  </sheetViews>
  <sheetFormatPr defaultRowHeight="14.4" x14ac:dyDescent="0.3"/>
  <cols>
    <col min="2" max="2" width="23.109375" customWidth="1"/>
    <col min="3" max="3" width="19.21875" customWidth="1"/>
    <col min="4" max="4" width="12.5546875" customWidth="1"/>
    <col min="6" max="6" width="33.109375" customWidth="1"/>
    <col min="7" max="7" width="18.44140625" customWidth="1"/>
    <col min="10" max="10" width="14.44140625" bestFit="1" customWidth="1"/>
    <col min="11" max="11" width="18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I1" t="s">
        <v>18</v>
      </c>
      <c r="J1" t="s">
        <v>19</v>
      </c>
      <c r="K1" t="s">
        <v>20</v>
      </c>
    </row>
    <row r="2" spans="1:11" x14ac:dyDescent="0.3">
      <c r="A2" t="s">
        <v>8</v>
      </c>
      <c r="B2" s="1">
        <v>44427.698414351849</v>
      </c>
      <c r="C2" s="1">
        <v>44427.701388888891</v>
      </c>
      <c r="D2" t="s">
        <v>12</v>
      </c>
      <c r="E2" t="s">
        <v>11</v>
      </c>
      <c r="F2" t="str">
        <f>IF(INT(B2)=INT(C2),"Yes","No")</f>
        <v>Yes</v>
      </c>
      <c r="G2" t="str">
        <f>IF(AND(INT(B2)=INT(C2),HOUR(B2)=HOUR(C2)),"Yes","No")</f>
        <v>Yes</v>
      </c>
      <c r="I2" t="s">
        <v>12</v>
      </c>
      <c r="J2">
        <f>COUNTIFS(D:D,"o1",F:F,"Yes")</f>
        <v>2</v>
      </c>
      <c r="K2">
        <f>COUNTIFS(D:D,"o1",G:G,"Yes")</f>
        <v>2</v>
      </c>
    </row>
    <row r="3" spans="1:11" x14ac:dyDescent="0.3">
      <c r="A3" t="s">
        <v>9</v>
      </c>
      <c r="B3" s="1">
        <v>44428.698414293984</v>
      </c>
      <c r="C3" s="1">
        <v>44428.701388888891</v>
      </c>
      <c r="D3" t="s">
        <v>12</v>
      </c>
      <c r="E3" t="s">
        <v>13</v>
      </c>
      <c r="F3" t="str">
        <f>IF(INT(B3)=INT(C3),"Yes","No")</f>
        <v>Yes</v>
      </c>
      <c r="G3" t="str">
        <f>IF(AND(INT(B3)=INT(C3),HOUR(B3)=HOUR(C3)),"Yes","No")</f>
        <v>Yes</v>
      </c>
      <c r="I3" t="s">
        <v>15</v>
      </c>
      <c r="J3">
        <f>COUNTIFS(D:D,"o2",F:F,"Yes")</f>
        <v>1</v>
      </c>
      <c r="K3">
        <f>COUNTIFS(D:D,"o2",G:G,"Yes")</f>
        <v>1</v>
      </c>
    </row>
    <row r="4" spans="1:11" x14ac:dyDescent="0.3">
      <c r="A4" t="s">
        <v>10</v>
      </c>
      <c r="B4" s="1">
        <v>44429.698414293984</v>
      </c>
      <c r="C4" s="1">
        <v>44429.701388888891</v>
      </c>
      <c r="D4" t="s">
        <v>15</v>
      </c>
      <c r="E4" t="s">
        <v>14</v>
      </c>
      <c r="F4" t="str">
        <f t="shared" ref="F3:F4" si="0">IF(INT(B4)=INT(C4),"Yes","No")</f>
        <v>Yes</v>
      </c>
      <c r="G4" t="str">
        <f>IF(AND(INT(B4)=INT(C4),HOUR(B4)=HOUR(C4)),"Yes","No")</f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B282-0712-419A-A101-E518C2739C48}">
  <dimension ref="A1:D4"/>
  <sheetViews>
    <sheetView showFormulas="1" workbookViewId="0">
      <selection activeCell="D10" sqref="D10"/>
    </sheetView>
  </sheetViews>
  <sheetFormatPr defaultRowHeight="14.4" x14ac:dyDescent="0.3"/>
  <cols>
    <col min="1" max="1" width="8.88671875" customWidth="1"/>
    <col min="2" max="2" width="27.44140625" customWidth="1"/>
    <col min="3" max="3" width="16.6640625" customWidth="1"/>
    <col min="4" max="4" width="19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11</v>
      </c>
      <c r="B2" s="2">
        <v>44429.560277777775</v>
      </c>
      <c r="C2">
        <v>3</v>
      </c>
      <c r="D2">
        <f>INDEX(ticket!B:B, MATCH(A2, ticket!E:E, 0))</f>
        <v>44427.698414351849</v>
      </c>
    </row>
    <row r="3" spans="1:4" x14ac:dyDescent="0.3">
      <c r="A3" t="s">
        <v>13</v>
      </c>
      <c r="B3" s="2">
        <v>44430.583333333336</v>
      </c>
      <c r="C3">
        <v>4</v>
      </c>
      <c r="D3">
        <f>INDEX(ticket!B:B, MATCH(A3, ticket!E:E, 0))</f>
        <v>44428.698414293984</v>
      </c>
    </row>
    <row r="4" spans="1:4" x14ac:dyDescent="0.3">
      <c r="A4" t="s">
        <v>14</v>
      </c>
      <c r="B4" s="2">
        <v>44431.625</v>
      </c>
      <c r="C4">
        <v>5</v>
      </c>
      <c r="D4">
        <f>INDEX(ticket!B:B, MATCH(A4, ticket!E:E, 0))</f>
        <v>44429.698414293984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Javed Shaik</dc:creator>
  <cp:lastModifiedBy>Ahmad Javed Shaik</cp:lastModifiedBy>
  <dcterms:created xsi:type="dcterms:W3CDTF">2026-04-09T09:05:00Z</dcterms:created>
  <dcterms:modified xsi:type="dcterms:W3CDTF">2026-04-09T10:18:19Z</dcterms:modified>
</cp:coreProperties>
</file>